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2" i="1"/>
  <c r="D19" i="1"/>
  <c r="D16" i="1"/>
  <c r="D13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<sst xmlns="http://schemas.openxmlformats.org/spreadsheetml/2006/main" count="25" uniqueCount="10">
  <si>
    <t>atom_coordinate</t>
    <phoneticPr fontId="1" type="noConversion"/>
  </si>
  <si>
    <t>Fe_coordinate</t>
    <phoneticPr fontId="1" type="noConversion"/>
  </si>
  <si>
    <t>Δd</t>
    <phoneticPr fontId="1" type="noConversion"/>
  </si>
  <si>
    <t>pure_Ti</t>
    <phoneticPr fontId="1" type="noConversion"/>
  </si>
  <si>
    <t>x</t>
    <phoneticPr fontId="1" type="noConversion"/>
  </si>
  <si>
    <t>y</t>
    <phoneticPr fontId="1" type="noConversion"/>
  </si>
  <si>
    <t>HS-Fe</t>
    <phoneticPr fontId="1" type="noConversion"/>
  </si>
  <si>
    <t>LS-Fe</t>
    <phoneticPr fontId="1" type="noConversion"/>
  </si>
  <si>
    <t>E</t>
    <phoneticPr fontId="1" type="noConversion"/>
  </si>
  <si>
    <t>△E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</si>
</sst>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H16" sqref="H16"/>
    </sheetView>
  </sheetViews>
  <sheetFormatPr defaultRowHeight="14.25" x14ac:dyDescent="0.2"/>
  <sheetData>
    <row r="1" spans="1:14" x14ac:dyDescent="0.2">
      <c r="C1" t="s">
        <v>0</v>
      </c>
      <c r="G1" t="s">
        <v>1</v>
      </c>
      <c r="K1" t="s">
        <v>1</v>
      </c>
      <c r="N1" t="s">
        <v>2</v>
      </c>
    </row>
    <row r="2" spans="1:14" x14ac:dyDescent="0.2">
      <c r="A2" t="s">
        <v>3</v>
      </c>
      <c r="C2" t="s">
        <v>4</v>
      </c>
      <c r="D2" t="s">
        <v>5</v>
      </c>
      <c r="F2" t="s">
        <v>6</v>
      </c>
      <c r="G2" t="s">
        <v>4</v>
      </c>
      <c r="H2" t="s">
        <v>5</v>
      </c>
      <c r="J2" t="s">
        <v>7</v>
      </c>
      <c r="K2" t="s">
        <v>4</v>
      </c>
      <c r="L2" t="s">
        <v>5</v>
      </c>
    </row>
    <row r="3" spans="1:14" x14ac:dyDescent="0.2">
      <c r="A3">
        <v>332</v>
      </c>
      <c r="C3">
        <v>8.7851871613148305</v>
      </c>
      <c r="D3">
        <v>7.6081852020712999</v>
      </c>
      <c r="G3">
        <v>0.66666882985118803</v>
      </c>
      <c r="H3">
        <v>0.33333003485088097</v>
      </c>
      <c r="K3">
        <v>0.71104977888017096</v>
      </c>
      <c r="L3">
        <v>0.42209780343695102</v>
      </c>
      <c r="N3">
        <f>SQRT(((K3-G3)*C3)^2+((L3-H3)*D3)^2)</f>
        <v>0.7798277947012543</v>
      </c>
    </row>
    <row r="4" spans="1:14" x14ac:dyDescent="0.2">
      <c r="A4">
        <v>442</v>
      </c>
      <c r="C4">
        <v>11.740944892659099</v>
      </c>
      <c r="D4">
        <v>10.1679141646791</v>
      </c>
      <c r="G4">
        <v>0.49998787605702799</v>
      </c>
      <c r="H4">
        <v>0.50001211182151994</v>
      </c>
      <c r="K4">
        <v>0.531470857805598</v>
      </c>
      <c r="L4">
        <v>0.56293677901685402</v>
      </c>
      <c r="N4">
        <f>SQRT(((K4-G4)*C4)^2+((L4-H4)*D4)^2)</f>
        <v>0.73891398524061003</v>
      </c>
    </row>
    <row r="5" spans="1:14" x14ac:dyDescent="0.2">
      <c r="A5">
        <v>443</v>
      </c>
      <c r="C5">
        <v>11.746902704023</v>
      </c>
      <c r="D5">
        <v>10.173088104185201</v>
      </c>
      <c r="G5">
        <v>0.66668022118770298</v>
      </c>
      <c r="H5">
        <v>0.33331747573829601</v>
      </c>
      <c r="K5">
        <v>0.63452663169287604</v>
      </c>
      <c r="L5">
        <v>0.26904845334102701</v>
      </c>
      <c r="N5">
        <f>SQRT(((K5-G5)*C5)^2+((L5-H5)*D5)^2)</f>
        <v>0.75507247219773899</v>
      </c>
    </row>
    <row r="6" spans="1:14" x14ac:dyDescent="0.2">
      <c r="A6">
        <v>553</v>
      </c>
      <c r="C6">
        <v>14.6805584775993</v>
      </c>
      <c r="D6">
        <v>12.713786199289199</v>
      </c>
      <c r="G6">
        <v>0.53327020052401297</v>
      </c>
      <c r="H6">
        <v>0.46673080226414698</v>
      </c>
      <c r="K6">
        <v>0.50650548126140305</v>
      </c>
      <c r="L6">
        <v>0.41303209912511202</v>
      </c>
      <c r="N6">
        <f>SQRT(((K6-G6)*C6)^2+((L6-H6)*D6)^2)</f>
        <v>0.78770877091277747</v>
      </c>
    </row>
    <row r="7" spans="1:14" x14ac:dyDescent="0.2">
      <c r="A7">
        <v>554</v>
      </c>
      <c r="C7">
        <v>14.6866816259184</v>
      </c>
      <c r="D7">
        <v>12.7190734010903</v>
      </c>
      <c r="G7">
        <v>0.60000542341649998</v>
      </c>
      <c r="H7">
        <v>0.39999235687262602</v>
      </c>
      <c r="K7">
        <v>0.626825594864028</v>
      </c>
      <c r="L7">
        <v>0.45366393369270203</v>
      </c>
      <c r="N7">
        <f>SQRT(((K7-G7)*C7)^2+((L7-H7)*D7)^2)</f>
        <v>0.78814428678456983</v>
      </c>
    </row>
    <row r="11" spans="1:14" x14ac:dyDescent="0.2">
      <c r="C11" t="s">
        <v>8</v>
      </c>
      <c r="D11" t="s">
        <v>9</v>
      </c>
    </row>
    <row r="12" spans="1:14" x14ac:dyDescent="0.2">
      <c r="A12">
        <v>332</v>
      </c>
      <c r="B12" t="s">
        <v>6</v>
      </c>
      <c r="C12">
        <v>-285.68987791000001</v>
      </c>
    </row>
    <row r="13" spans="1:14" x14ac:dyDescent="0.2">
      <c r="B13" t="s">
        <v>7</v>
      </c>
      <c r="C13">
        <v>-286.00965667999998</v>
      </c>
      <c r="D13">
        <f>C13-C12</f>
        <v>-0.31977876999997079</v>
      </c>
    </row>
    <row r="15" spans="1:14" x14ac:dyDescent="0.2">
      <c r="A15">
        <v>442</v>
      </c>
      <c r="B15" t="s">
        <v>6</v>
      </c>
      <c r="C15">
        <v>-508.26227423</v>
      </c>
    </row>
    <row r="16" spans="1:14" x14ac:dyDescent="0.2">
      <c r="B16" t="s">
        <v>7</v>
      </c>
      <c r="C16">
        <v>-508.50229049000001</v>
      </c>
      <c r="D16">
        <f>C16-C15</f>
        <v>-0.24001626000000442</v>
      </c>
    </row>
    <row r="18" spans="1:4" x14ac:dyDescent="0.2">
      <c r="A18">
        <v>443</v>
      </c>
      <c r="B18" t="s">
        <v>6</v>
      </c>
      <c r="C18">
        <v>-762.59717606000004</v>
      </c>
    </row>
    <row r="19" spans="1:4" x14ac:dyDescent="0.2">
      <c r="B19" t="s">
        <v>7</v>
      </c>
      <c r="C19">
        <v>-762.82682735000003</v>
      </c>
      <c r="D19">
        <f>C19-C18</f>
        <v>-0.22965128999999251</v>
      </c>
    </row>
    <row r="21" spans="1:4" x14ac:dyDescent="0.2">
      <c r="A21">
        <v>553</v>
      </c>
      <c r="B21" t="s">
        <v>6</v>
      </c>
      <c r="C21">
        <v>-1191.70865142</v>
      </c>
    </row>
    <row r="22" spans="1:4" x14ac:dyDescent="0.2">
      <c r="B22" t="s">
        <v>7</v>
      </c>
      <c r="C22">
        <v>-1191.96595</v>
      </c>
      <c r="D22">
        <f>C22-C21</f>
        <v>-0.25729857999999695</v>
      </c>
    </row>
    <row r="24" spans="1:4" x14ac:dyDescent="0.2">
      <c r="A24">
        <v>554</v>
      </c>
      <c r="B24" t="s">
        <v>6</v>
      </c>
      <c r="C24">
        <v>-1589.0099645600001</v>
      </c>
    </row>
    <row r="25" spans="1:4" x14ac:dyDescent="0.2">
      <c r="B25" t="s">
        <v>7</v>
      </c>
      <c r="C25">
        <v>-1589.2589797799999</v>
      </c>
      <c r="D25">
        <f>C25-C24</f>
        <v>-0.24901521999981924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2026-01-14T07:11:18Z</dcterms:created>
  <dcterms:modified xsi:type="dcterms:W3CDTF">2026-01-14T07:11:55Z</dcterms:modified>
</cp:coreProperties>
</file>